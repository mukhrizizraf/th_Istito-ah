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A5A40"/>
      <sz val="16"/>
    </font>
    <font>
      <i val="1"/>
      <color rgb="0056696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F6E9C6"/>
      </patternFill>
    </fill>
    <fill>
      <patternFill patternType="solid">
        <fgColor rgb="002B8A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3" borderId="0" pivotButton="0" quotePrefix="0" xfId="0"/>
    <xf numFmtId="0" fontId="4" fillId="4" borderId="0" pivotButton="0" quotePrefix="0" xfId="0"/>
    <xf numFmtId="1" fontId="0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6" customWidth="1" min="4" max="4"/>
    <col width="54" customWidth="1" min="5" max="5"/>
    <col width="54" customWidth="1" min="6" max="6"/>
    <col width="34" customWidth="1" min="7" max="7"/>
  </cols>
  <sheetData>
    <row r="1">
      <c r="A1" s="1" t="inlineStr">
        <is>
          <t>Istito'ah Tracker: data template</t>
        </is>
      </c>
    </row>
    <row r="2">
      <c r="A2" s="2" t="inlineStr">
        <is>
          <t>depositor-plan.xlsx</t>
        </is>
      </c>
    </row>
    <row r="4" ht="48" customHeight="1">
      <c r="A4" s="3" t="inlineStr">
        <is>
          <t>What this is</t>
        </is>
      </c>
      <c r="B4" s="4" t="inlineStr">
        <is>
          <t>Two sheets: the settings for one depositor, and the year-by-year projection the page works out from them. In Excel the projection is live formulas, so changing a setting changes it. Aiman's settings are shown.</t>
        </is>
      </c>
    </row>
    <row r="5" ht="48" customHeight="1">
      <c r="A5" s="3" t="inlineStr">
        <is>
          <t>Apakah ini</t>
        </is>
      </c>
      <c r="B5" s="4" t="inlineStr">
        <is>
          <t>Dua helaian: tetapan bagi seorang pendeposit, dan unjuran tahun demi tahun yang dikira daripadanya. Dalam Excel unjuran ialah formula hidup, jadi menukar tetapan akan mengubahnya. Tetapan Aiman dipaparkan.</t>
        </is>
      </c>
    </row>
    <row r="6">
      <c r="A6" s="2" t="inlineStr">
        <is>
          <t>Sample rows are made up. Keep the header row; replace the rows below it. Gold cells are worked out by formula. / Baris contoh adalah rekaan. Kekalkan baris tajuk.</t>
        </is>
      </c>
    </row>
    <row r="8">
      <c r="A8" s="5" t="inlineStr">
        <is>
          <t>Sheet</t>
        </is>
      </c>
      <c r="B8" s="5" t="inlineStr">
        <is>
          <t>Column</t>
        </is>
      </c>
      <c r="C8" s="5" t="inlineStr">
        <is>
          <t>Header</t>
        </is>
      </c>
      <c r="D8" s="5" t="inlineStr">
        <is>
          <t>Type</t>
        </is>
      </c>
      <c r="E8" s="5" t="inlineStr">
        <is>
          <t>Meaning (EN)</t>
        </is>
      </c>
      <c r="F8" s="5" t="inlineStr">
        <is>
          <t>Maksud (BM)</t>
        </is>
      </c>
      <c r="G8" s="5" t="inlineStr">
        <is>
          <t>Allowed values</t>
        </is>
      </c>
    </row>
    <row r="9">
      <c r="A9" s="4" t="inlineStr">
        <is>
          <t>Inputs</t>
        </is>
      </c>
      <c r="B9" s="4" t="inlineStr">
        <is>
          <t>A</t>
        </is>
      </c>
      <c r="C9" s="4" t="inlineStr">
        <is>
          <t>setting</t>
        </is>
      </c>
      <c r="D9" s="4" t="inlineStr">
        <is>
          <t>text</t>
        </is>
      </c>
      <c r="E9" s="4" t="inlineStr">
        <is>
          <t>What the value is.</t>
        </is>
      </c>
      <c r="F9" s="4" t="inlineStr">
        <is>
          <t>Maksud nilai.</t>
        </is>
      </c>
      <c r="G9" s="4" t="inlineStr"/>
    </row>
    <row r="10">
      <c r="A10" s="4" t="inlineStr">
        <is>
          <t>Inputs</t>
        </is>
      </c>
      <c r="B10" s="4" t="inlineStr">
        <is>
          <t>B</t>
        </is>
      </c>
      <c r="C10" s="4" t="inlineStr">
        <is>
          <t>value</t>
        </is>
      </c>
      <c r="D10" s="4" t="inlineStr">
        <is>
          <t>text</t>
        </is>
      </c>
      <c r="E10" s="4" t="inlineStr">
        <is>
          <t>The depositor's figure. Change these.</t>
        </is>
      </c>
      <c r="F10" s="4" t="inlineStr">
        <is>
          <t>Angka pendeposit. Ubah nilai ini.</t>
        </is>
      </c>
      <c r="G10" s="4" t="inlineStr"/>
    </row>
    <row r="11">
      <c r="A11" s="4" t="inlineStr">
        <is>
          <t>Inputs</t>
        </is>
      </c>
      <c r="B11" s="4" t="inlineStr">
        <is>
          <t>C</t>
        </is>
      </c>
      <c r="C11" s="4" t="inlineStr">
        <is>
          <t>note</t>
        </is>
      </c>
      <c r="D11" s="4" t="inlineStr">
        <is>
          <t>text</t>
        </is>
      </c>
      <c r="E11" s="4" t="inlineStr">
        <is>
          <t>Where the figure comes from.</t>
        </is>
      </c>
      <c r="F11" s="4" t="inlineStr">
        <is>
          <t>Dari mana angka itu datang.</t>
        </is>
      </c>
      <c r="G11" s="4" t="inlineStr"/>
    </row>
    <row r="12">
      <c r="A12" s="4" t="inlineStr">
        <is>
          <t>Projection</t>
        </is>
      </c>
      <c r="B12" s="4" t="inlineStr">
        <is>
          <t>A</t>
        </is>
      </c>
      <c r="C12" s="4" t="inlineStr">
        <is>
          <t>year_no</t>
        </is>
      </c>
      <c r="D12" s="4" t="inlineStr">
        <is>
          <t>number</t>
        </is>
      </c>
      <c r="E12" s="4" t="inlineStr">
        <is>
          <t>Year of saving, from October 2026.</t>
        </is>
      </c>
      <c r="F12" s="4" t="inlineStr">
        <is>
          <t>Tahun menyimpan, mulai Oktober 2026.</t>
        </is>
      </c>
      <c r="G12" s="4" t="inlineStr"/>
    </row>
    <row r="13">
      <c r="A13" s="4" t="inlineStr">
        <is>
          <t>Projection</t>
        </is>
      </c>
      <c r="B13" s="4" t="inlineStr">
        <is>
          <t>B</t>
        </is>
      </c>
      <c r="C13" s="4" t="inlineStr">
        <is>
          <t>to_month</t>
        </is>
      </c>
      <c r="D13" s="4" t="inlineStr">
        <is>
          <t>text</t>
        </is>
      </c>
      <c r="E13" s="4" t="inlineStr">
        <is>
          <t>The year ends in this month.</t>
        </is>
      </c>
      <c r="F13" s="4" t="inlineStr">
        <is>
          <t>Tahun berakhir pada bulan ini.</t>
        </is>
      </c>
      <c r="G13" s="4" t="inlineStr"/>
    </row>
    <row r="14">
      <c r="A14" s="4" t="inlineStr">
        <is>
          <t>Projection</t>
        </is>
      </c>
      <c r="B14" s="4" t="inlineStr">
        <is>
          <t>C</t>
        </is>
      </c>
      <c r="C14" s="4" t="inlineStr">
        <is>
          <t>opening_rm</t>
        </is>
      </c>
      <c r="D14" s="4" t="inlineStr">
        <is>
          <t>RM (formula)</t>
        </is>
      </c>
      <c r="E14" s="4" t="inlineStr">
        <is>
          <t>Balance at the start of the year: last year's closing balance.</t>
        </is>
      </c>
      <c r="F14" s="4" t="inlineStr">
        <is>
          <t>Baki awal tahun: baki akhir tahun sebelumnya.</t>
        </is>
      </c>
      <c r="G14" s="4" t="inlineStr"/>
    </row>
    <row r="15">
      <c r="A15" s="4" t="inlineStr">
        <is>
          <t>Projection</t>
        </is>
      </c>
      <c r="B15" s="4" t="inlineStr">
        <is>
          <t>D</t>
        </is>
      </c>
      <c r="C15" s="4" t="inlineStr">
        <is>
          <t>deposits_rm</t>
        </is>
      </c>
      <c r="D15" s="4" t="inlineStr">
        <is>
          <t>RM (formula)</t>
        </is>
      </c>
      <c r="E15" s="4" t="inlineStr">
        <is>
          <t>Twelve monthly deposits.</t>
        </is>
      </c>
      <c r="F15" s="4" t="inlineStr">
        <is>
          <t>Dua belas simpanan bulanan.</t>
        </is>
      </c>
      <c r="G15" s="4" t="inlineStr"/>
    </row>
    <row r="16">
      <c r="A16" s="4" t="inlineStr">
        <is>
          <t>Projection</t>
        </is>
      </c>
      <c r="B16" s="4" t="inlineStr">
        <is>
          <t>E</t>
        </is>
      </c>
      <c r="C16" s="4" t="inlineStr">
        <is>
          <t>profit_rm</t>
        </is>
      </c>
      <c r="D16" s="4" t="inlineStr">
        <is>
          <t>RM (formula)</t>
        </is>
      </c>
      <c r="E16" s="4" t="inlineStr">
        <is>
          <t>Profit distribution added at year end on the balance.</t>
        </is>
      </c>
      <c r="F16" s="4" t="inlineStr">
        <is>
          <t>Agihan keuntungan ditambah pada akhir tahun ke atas baki.</t>
        </is>
      </c>
      <c r="G16" s="4" t="inlineStr"/>
    </row>
    <row r="17">
      <c r="A17" s="4" t="inlineStr">
        <is>
          <t>Projection</t>
        </is>
      </c>
      <c r="B17" s="4" t="inlineStr">
        <is>
          <t>F</t>
        </is>
      </c>
      <c r="C17" s="4" t="inlineStr">
        <is>
          <t>closing_rm</t>
        </is>
      </c>
      <c r="D17" s="4" t="inlineStr">
        <is>
          <t>RM (formula)</t>
        </is>
      </c>
      <c r="E17" s="4" t="inlineStr">
        <is>
          <t>Opening + deposits + profit.</t>
        </is>
      </c>
      <c r="F17" s="4" t="inlineStr">
        <is>
          <t>Baki awal + simpanan + keuntungan.</t>
        </is>
      </c>
      <c r="G17" s="4" t="inlineStr"/>
    </row>
    <row r="18">
      <c r="A18" s="4" t="inlineStr">
        <is>
          <t>Projection</t>
        </is>
      </c>
      <c r="B18" s="4" t="inlineStr">
        <is>
          <t>G</t>
        </is>
      </c>
      <c r="C18" s="4" t="inlineStr">
        <is>
          <t>passes</t>
        </is>
      </c>
      <c r="D18" s="4" t="inlineStr">
        <is>
          <t>text (formula)</t>
        </is>
      </c>
      <c r="E18" s="4" t="inlineStr">
        <is>
          <t>The amounts passed during the year.</t>
        </is>
      </c>
      <c r="F18" s="4" t="inlineStr">
        <is>
          <t>Amaun yang dilepasi dalam tahun itu.</t>
        </is>
      </c>
      <c r="G18" s="4" t="inlineStr"/>
    </row>
    <row r="20">
      <c r="A20" s="5" t="inlineStr">
        <is>
          <t>Step</t>
        </is>
      </c>
      <c r="B20" s="5" t="inlineStr">
        <is>
          <t>Sheet</t>
        </is>
      </c>
      <c r="C20" s="5" t="inlineStr">
        <is>
          <t>Columns</t>
        </is>
      </c>
      <c r="D20" s="5" t="inlineStr">
        <is>
          <t>What it counts (EN)</t>
        </is>
      </c>
      <c r="E20" s="5" t="inlineStr">
        <is>
          <t>Apa yang dikira (BM)</t>
        </is>
      </c>
      <c r="F20" s="5" t="inlineStr">
        <is>
          <t>Feeds</t>
        </is>
      </c>
      <c r="G20" s="5" t="inlineStr">
        <is>
          <t>Menyalurkan</t>
        </is>
      </c>
    </row>
    <row r="21">
      <c r="A21" s="4" t="inlineStr">
        <is>
          <t>1</t>
        </is>
      </c>
      <c r="B21" s="4" t="inlineStr">
        <is>
          <t>Projection</t>
        </is>
      </c>
      <c r="C21" s="4" t="inlineStr">
        <is>
          <t>D</t>
        </is>
      </c>
      <c r="D21" s="4" t="inlineStr">
        <is>
          <t>Every month: add the deposit: RM150 a month goes in, RM1,800 a year (column D).</t>
        </is>
      </c>
      <c r="E21" s="4" t="inlineStr">
        <is>
          <t>Setiap bulan: tambah simpanan: RM150 sebulan dimasukkan, RM1,800 setahun (lajur D).</t>
        </is>
      </c>
      <c r="F21" s="4" t="inlineStr">
        <is>
          <t>Green line on the chart</t>
        </is>
      </c>
      <c r="G21" s="4" t="inlineStr">
        <is>
          <t>Garis hijau pada carta</t>
        </is>
      </c>
    </row>
    <row r="22">
      <c r="A22" s="4" t="inlineStr">
        <is>
          <t>2</t>
        </is>
      </c>
      <c r="B22" s="4" t="inlineStr">
        <is>
          <t>Projection</t>
        </is>
      </c>
      <c r="C22" s="4" t="inlineStr">
        <is>
          <t>E</t>
        </is>
      </c>
      <c r="D22" s="4" t="inlineStr">
        <is>
          <t>Every 12 months: add the profit: 3.5% of the balance at year end (column E). An assumption you can change; TH never guarantees it.</t>
        </is>
      </c>
      <c r="E22" s="4" t="inlineStr">
        <is>
          <t>Setiap 12 bulan: tambah keuntungan: 3.5% daripada baki pada akhir tahun (lajur E). Andaian yang boleh diubah; TH tidak menjaminnya.</t>
        </is>
      </c>
      <c r="F22" s="4" t="inlineStr">
        <is>
          <t>Green line on the chart</t>
        </is>
      </c>
      <c r="G22" s="4" t="inlineStr">
        <is>
          <t>Garis hijau pada carta</t>
        </is>
      </c>
    </row>
    <row r="23">
      <c r="A23" s="4" t="inlineStr">
        <is>
          <t>3</t>
        </is>
      </c>
      <c r="B23" s="4" t="inlineStr">
        <is>
          <t>Projection</t>
        </is>
      </c>
      <c r="C23" s="4" t="inlineStr">
        <is>
          <t>F, G</t>
        </is>
      </c>
      <c r="D23" s="4" t="inlineStr">
        <is>
          <t>Milestone: first month past RM15,000: The year is found here (G); the page then steps month by month to give the exact date.</t>
        </is>
      </c>
      <c r="E23" s="4" t="inlineStr">
        <is>
          <t>Pencapaian: bulan pertama melepasi RM15,000: Tahunnya dikenal pasti di sini (G); halaman kemudian mengira bulan demi bulan untuk tarikh tepat.</t>
        </is>
      </c>
      <c r="F23" s="4" t="inlineStr">
        <is>
          <t>Milestones list</t>
        </is>
      </c>
      <c r="G23" s="4" t="inlineStr">
        <is>
          <t>Senarai pencapaian</t>
        </is>
      </c>
    </row>
    <row r="24">
      <c r="A24" s="4" t="inlineStr">
        <is>
          <t>4</t>
        </is>
      </c>
      <c r="B24" s="4" t="inlineStr">
        <is>
          <t>Inputs</t>
        </is>
      </c>
      <c r="C24" s="4" t="inlineStr">
        <is>
          <t>B</t>
        </is>
      </c>
      <c r="D24" s="4" t="inlineStr">
        <is>
          <t>With the programme's extra RM50: The same sums with RM200 a month instead of RM150.</t>
        </is>
      </c>
      <c r="E24" s="4" t="inlineStr">
        <is>
          <t>Dengan tambahan RM50 daripada program: Kiraan yang sama dengan RM200 sebulan, bukan RM150.</t>
        </is>
      </c>
      <c r="F24" s="4" t="inlineStr">
        <is>
          <t>Dashed gold line</t>
        </is>
      </c>
      <c r="G24" s="4" t="inlineStr">
        <is>
          <t>Garis emas putus-putus</t>
        </is>
      </c>
    </row>
  </sheetData>
  <mergeCells count="2">
    <mergeCell ref="B5:E5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5" t="inlineStr">
        <is>
          <t>setting</t>
        </is>
      </c>
      <c r="B1" s="5" t="inlineStr">
        <is>
          <t>value</t>
        </is>
      </c>
      <c r="C1" s="5" t="inlineStr">
        <is>
          <t>note</t>
        </is>
      </c>
    </row>
    <row r="2">
      <c r="A2" t="inlineStr">
        <is>
          <t>age</t>
        </is>
      </c>
      <c r="B2" t="n">
        <v>24</v>
      </c>
      <c r="C2" t="inlineStr">
        <is>
          <t>Age today</t>
        </is>
      </c>
    </row>
    <row r="3">
      <c r="A3" t="inlineStr">
        <is>
          <t>balance_today_rm</t>
        </is>
      </c>
      <c r="B3" t="n">
        <v>1800</v>
      </c>
      <c r="C3" t="inlineStr">
        <is>
          <t>Real data: balance_rm in the Monthly snapshot</t>
        </is>
      </c>
    </row>
    <row r="4">
      <c r="A4" t="inlineStr">
        <is>
          <t>monthly_deposit_rm</t>
        </is>
      </c>
      <c r="B4" t="n">
        <v>150</v>
      </c>
      <c r="C4" t="inlineStr">
        <is>
          <t>Real data: average deposit_this_month_rm</t>
        </is>
      </c>
    </row>
    <row r="5">
      <c r="A5" t="inlineStr">
        <is>
          <t>extra_from_programme_rm</t>
        </is>
      </c>
      <c r="B5" t="n">
        <v>50</v>
      </c>
      <c r="C5" t="inlineStr">
        <is>
          <t>Extra a month agreed in a literacy programme</t>
        </is>
      </c>
    </row>
    <row r="6">
      <c r="A6" t="inlineStr">
        <is>
          <t>pay_category</t>
        </is>
      </c>
      <c r="B6" t="inlineStr">
        <is>
          <t>M40</t>
        </is>
      </c>
      <c r="C6" t="inlineStr">
        <is>
          <t>B40, M40 or T20</t>
        </is>
      </c>
    </row>
    <row r="7">
      <c r="A7" t="inlineStr">
        <is>
          <t>registered</t>
        </is>
      </c>
      <c r="B7" t="inlineStr">
        <is>
          <t>N</t>
        </is>
      </c>
      <c r="C7" t="inlineStr">
        <is>
          <t>Y adds the 31 Dec 2028 deadline</t>
        </is>
      </c>
    </row>
    <row r="8">
      <c r="A8" t="inlineStr">
        <is>
          <t>kos_haji_rm</t>
        </is>
      </c>
      <c r="B8" t="n">
        <v>33300</v>
      </c>
      <c r="C8" t="inlineStr">
        <is>
          <t>TH, 1448H/2027M</t>
        </is>
      </c>
    </row>
    <row r="9">
      <c r="A9" t="inlineStr">
        <is>
          <t>profit_pct</t>
        </is>
      </c>
      <c r="B9" t="n">
        <v>3.5</v>
      </c>
      <c r="C9" t="inlineStr">
        <is>
          <t>Assumed yearly profit distribution; never guaranteed</t>
        </is>
      </c>
    </row>
    <row r="10">
      <c r="A10" t="inlineStr">
        <is>
          <t>own_payment_rm</t>
        </is>
      </c>
      <c r="B10" s="6">
        <f>IF(B6="B40",15000,IF(B6="M40",23500,33300))</f>
        <v/>
      </c>
      <c r="C10" t="inlineStr">
        <is>
          <t>Worked out from pay_category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13" customWidth="1" min="5" max="5"/>
    <col width="14" customWidth="1" min="6" max="6"/>
    <col width="12" customWidth="1" min="7" max="7"/>
  </cols>
  <sheetData>
    <row r="1">
      <c r="A1" s="5" t="inlineStr">
        <is>
          <t>year_no</t>
        </is>
      </c>
      <c r="B1" s="5" t="inlineStr">
        <is>
          <t>to_month</t>
        </is>
      </c>
      <c r="C1" s="7" t="inlineStr">
        <is>
          <t>opening_rm</t>
        </is>
      </c>
      <c r="D1" s="7" t="inlineStr">
        <is>
          <t>deposits_rm</t>
        </is>
      </c>
      <c r="E1" s="7" t="inlineStr">
        <is>
          <t>profit_rm</t>
        </is>
      </c>
      <c r="F1" s="7" t="inlineStr">
        <is>
          <t>closing_rm</t>
        </is>
      </c>
      <c r="G1" s="7" t="inlineStr">
        <is>
          <t>passes</t>
        </is>
      </c>
    </row>
    <row r="2">
      <c r="A2" s="8" t="n">
        <v>1</v>
      </c>
      <c r="B2" t="inlineStr">
        <is>
          <t>Sep 2027</t>
        </is>
      </c>
      <c r="C2" s="9">
        <f>Inputs!B3</f>
        <v/>
      </c>
      <c r="D2" s="9">
        <f>12*Inputs!$B$4</f>
        <v/>
      </c>
      <c r="E2" s="9">
        <f>ROUND((C2+D2)*Inputs!$B$9/100,2)</f>
        <v/>
      </c>
      <c r="F2" s="9">
        <f>C2+D2+E2</f>
        <v/>
      </c>
      <c r="G2" s="6">
        <f>TRIM(IF(AND(C2&lt;15000,F2&gt;=15000),"RM15,000 gate ","")&amp;IF(AND(C2&lt;Inputs!$B$10,F2&gt;=Inputs!$B$10),"Own payment",""))</f>
        <v/>
      </c>
    </row>
    <row r="3">
      <c r="A3" s="8" t="n">
        <v>2</v>
      </c>
      <c r="B3" t="inlineStr">
        <is>
          <t>Sep 2028</t>
        </is>
      </c>
      <c r="C3" s="9">
        <f>F2</f>
        <v/>
      </c>
      <c r="D3" s="9">
        <f>12*Inputs!$B$4</f>
        <v/>
      </c>
      <c r="E3" s="9">
        <f>ROUND((C3+D3)*Inputs!$B$9/100,2)</f>
        <v/>
      </c>
      <c r="F3" s="9">
        <f>C3+D3+E3</f>
        <v/>
      </c>
      <c r="G3" s="6">
        <f>TRIM(IF(AND(C3&lt;15000,F3&gt;=15000),"RM15,000 gate ","")&amp;IF(AND(C3&lt;Inputs!$B$10,F3&gt;=Inputs!$B$10),"Own payment",""))</f>
        <v/>
      </c>
    </row>
    <row r="4">
      <c r="A4" s="8" t="n">
        <v>3</v>
      </c>
      <c r="B4" t="inlineStr">
        <is>
          <t>Sep 2029</t>
        </is>
      </c>
      <c r="C4" s="9">
        <f>F3</f>
        <v/>
      </c>
      <c r="D4" s="9">
        <f>12*Inputs!$B$4</f>
        <v/>
      </c>
      <c r="E4" s="9">
        <f>ROUND((C4+D4)*Inputs!$B$9/100,2)</f>
        <v/>
      </c>
      <c r="F4" s="9">
        <f>C4+D4+E4</f>
        <v/>
      </c>
      <c r="G4" s="6">
        <f>TRIM(IF(AND(C4&lt;15000,F4&gt;=15000),"RM15,000 gate ","")&amp;IF(AND(C4&lt;Inputs!$B$10,F4&gt;=Inputs!$B$10),"Own payment",""))</f>
        <v/>
      </c>
    </row>
    <row r="5">
      <c r="A5" s="8" t="n">
        <v>4</v>
      </c>
      <c r="B5" t="inlineStr">
        <is>
          <t>Sep 2030</t>
        </is>
      </c>
      <c r="C5" s="9">
        <f>F4</f>
        <v/>
      </c>
      <c r="D5" s="9">
        <f>12*Inputs!$B$4</f>
        <v/>
      </c>
      <c r="E5" s="9">
        <f>ROUND((C5+D5)*Inputs!$B$9/100,2)</f>
        <v/>
      </c>
      <c r="F5" s="9">
        <f>C5+D5+E5</f>
        <v/>
      </c>
      <c r="G5" s="6">
        <f>TRIM(IF(AND(C5&lt;15000,F5&gt;=15000),"RM15,000 gate ","")&amp;IF(AND(C5&lt;Inputs!$B$10,F5&gt;=Inputs!$B$10),"Own payment",""))</f>
        <v/>
      </c>
    </row>
    <row r="6">
      <c r="A6" s="8" t="n">
        <v>5</v>
      </c>
      <c r="B6" t="inlineStr">
        <is>
          <t>Sep 2031</t>
        </is>
      </c>
      <c r="C6" s="9">
        <f>F5</f>
        <v/>
      </c>
      <c r="D6" s="9">
        <f>12*Inputs!$B$4</f>
        <v/>
      </c>
      <c r="E6" s="9">
        <f>ROUND((C6+D6)*Inputs!$B$9/100,2)</f>
        <v/>
      </c>
      <c r="F6" s="9">
        <f>C6+D6+E6</f>
        <v/>
      </c>
      <c r="G6" s="6">
        <f>TRIM(IF(AND(C6&lt;15000,F6&gt;=15000),"RM15,000 gate ","")&amp;IF(AND(C6&lt;Inputs!$B$10,F6&gt;=Inputs!$B$10),"Own payment",""))</f>
        <v/>
      </c>
    </row>
    <row r="7">
      <c r="A7" s="8" t="n">
        <v>6</v>
      </c>
      <c r="B7" t="inlineStr">
        <is>
          <t>Sep 2032</t>
        </is>
      </c>
      <c r="C7" s="9">
        <f>F6</f>
        <v/>
      </c>
      <c r="D7" s="9">
        <f>12*Inputs!$B$4</f>
        <v/>
      </c>
      <c r="E7" s="9">
        <f>ROUND((C7+D7)*Inputs!$B$9/100,2)</f>
        <v/>
      </c>
      <c r="F7" s="9">
        <f>C7+D7+E7</f>
        <v/>
      </c>
      <c r="G7" s="6">
        <f>TRIM(IF(AND(C7&lt;15000,F7&gt;=15000),"RM15,000 gate ","")&amp;IF(AND(C7&lt;Inputs!$B$10,F7&gt;=Inputs!$B$10),"Own payment",""))</f>
        <v/>
      </c>
    </row>
    <row r="8">
      <c r="A8" s="8" t="n">
        <v>7</v>
      </c>
      <c r="B8" t="inlineStr">
        <is>
          <t>Sep 2033</t>
        </is>
      </c>
      <c r="C8" s="9">
        <f>F7</f>
        <v/>
      </c>
      <c r="D8" s="9">
        <f>12*Inputs!$B$4</f>
        <v/>
      </c>
      <c r="E8" s="9">
        <f>ROUND((C8+D8)*Inputs!$B$9/100,2)</f>
        <v/>
      </c>
      <c r="F8" s="9">
        <f>C8+D8+E8</f>
        <v/>
      </c>
      <c r="G8" s="6">
        <f>TRIM(IF(AND(C8&lt;15000,F8&gt;=15000),"RM15,000 gate ","")&amp;IF(AND(C8&lt;Inputs!$B$10,F8&gt;=Inputs!$B$10),"Own payment",""))</f>
        <v/>
      </c>
    </row>
    <row r="9">
      <c r="A9" s="8" t="n">
        <v>8</v>
      </c>
      <c r="B9" t="inlineStr">
        <is>
          <t>Sep 2034</t>
        </is>
      </c>
      <c r="C9" s="9">
        <f>F8</f>
        <v/>
      </c>
      <c r="D9" s="9">
        <f>12*Inputs!$B$4</f>
        <v/>
      </c>
      <c r="E9" s="9">
        <f>ROUND((C9+D9)*Inputs!$B$9/100,2)</f>
        <v/>
      </c>
      <c r="F9" s="9">
        <f>C9+D9+E9</f>
        <v/>
      </c>
      <c r="G9" s="6">
        <f>TRIM(IF(AND(C9&lt;15000,F9&gt;=15000),"RM15,000 gate ","")&amp;IF(AND(C9&lt;Inputs!$B$10,F9&gt;=Inputs!$B$10),"Own payment",""))</f>
        <v/>
      </c>
    </row>
    <row r="10">
      <c r="A10" s="8" t="n">
        <v>9</v>
      </c>
      <c r="B10" t="inlineStr">
        <is>
          <t>Sep 2035</t>
        </is>
      </c>
      <c r="C10" s="9">
        <f>F9</f>
        <v/>
      </c>
      <c r="D10" s="9">
        <f>12*Inputs!$B$4</f>
        <v/>
      </c>
      <c r="E10" s="9">
        <f>ROUND((C10+D10)*Inputs!$B$9/100,2)</f>
        <v/>
      </c>
      <c r="F10" s="9">
        <f>C10+D10+E10</f>
        <v/>
      </c>
      <c r="G10" s="6">
        <f>TRIM(IF(AND(C10&lt;15000,F10&gt;=15000),"RM15,000 gate ","")&amp;IF(AND(C10&lt;Inputs!$B$10,F10&gt;=Inputs!$B$10),"Own payment",""))</f>
        <v/>
      </c>
    </row>
    <row r="11">
      <c r="A11" s="8" t="n">
        <v>10</v>
      </c>
      <c r="B11" t="inlineStr">
        <is>
          <t>Sep 2036</t>
        </is>
      </c>
      <c r="C11" s="9">
        <f>F10</f>
        <v/>
      </c>
      <c r="D11" s="9">
        <f>12*Inputs!$B$4</f>
        <v/>
      </c>
      <c r="E11" s="9">
        <f>ROUND((C11+D11)*Inputs!$B$9/100,2)</f>
        <v/>
      </c>
      <c r="F11" s="9">
        <f>C11+D11+E11</f>
        <v/>
      </c>
      <c r="G11" s="6">
        <f>TRIM(IF(AND(C11&lt;15000,F11&gt;=15000),"RM15,000 gate ","")&amp;IF(AND(C11&lt;Inputs!$B$10,F11&gt;=Inputs!$B$10),"Own payment",""))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2026-10-05T14:08:58Z</dcterms:created>
  <dcterms:modified xmlns:dcterms="http://purl.org/dc/terms/" xmlns:xsi="http://www.w3.org/2001/XMLSchema-instance" xsi:type="dcterms:W3CDTF">2026-10-05T14:08:58Z</dcterms:modified>
</cp:coreProperties>
</file>